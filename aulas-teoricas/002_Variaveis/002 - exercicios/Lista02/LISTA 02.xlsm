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2_Variaveis/exercicios/Lista02/"/>
    </mc:Choice>
  </mc:AlternateContent>
  <xr:revisionPtr revIDLastSave="29" documentId="11_E070E1E86318D58BFA4C6B78D096B4D8C640A75C" xr6:coauthVersionLast="46" xr6:coauthVersionMax="46" xr10:uidLastSave="{B5FCA458-3867-48E3-8E25-B45B15514576}"/>
  <bookViews>
    <workbookView xWindow="36300" yWindow="3030" windowWidth="19425" windowHeight="10425" firstSheet="2" activeTab="3" xr2:uid="{00000000-000D-0000-FFFF-FFFF00000000}"/>
  </bookViews>
  <sheets>
    <sheet name="Início" sheetId="1" r:id="rId1"/>
    <sheet name="Planilha1" sheetId="4" r:id="rId2"/>
    <sheet name="Exercício 17" sheetId="2" r:id="rId3"/>
    <sheet name="Exercício 19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2" l="1"/>
  <c r="I11" i="2" s="1"/>
  <c r="E3" i="4"/>
</calcChain>
</file>

<file path=xl/sharedStrings.xml><?xml version="1.0" encoding="utf-8"?>
<sst xmlns="http://schemas.openxmlformats.org/spreadsheetml/2006/main" count="46" uniqueCount="44">
  <si>
    <t>Curso de VBA Online - VBA Academy</t>
  </si>
  <si>
    <t>www.vbaacademy.com.br</t>
  </si>
  <si>
    <t>Exercícios Nível Médio</t>
  </si>
  <si>
    <t>11 | Crie duas variáveis, A e B, peça para o usuário informar o valor das duas. Depois troque o valor de A pelo de B e o valor</t>
  </si>
  <si>
    <r>
      <t xml:space="preserve">de B pelo de A. Exiba os valores trocados na tela. </t>
    </r>
    <r>
      <rPr>
        <b/>
        <i/>
        <sz val="11"/>
        <color rgb="FFFF0000"/>
        <rFont val="Tw Cen MT"/>
        <family val="2"/>
      </rPr>
      <t>Se quiser crie variáveis auxiliares para resolver.</t>
    </r>
  </si>
  <si>
    <t>12 | Peça para o usuário informar dois valores diferentes. Exiba o maior deles na tela.</t>
  </si>
  <si>
    <t>13 | Peça para o usuário informar seu peso e altura e informe seu IMC na tela.</t>
  </si>
  <si>
    <t>Para conferir se seu programa está correto, uma pessoa com 1,8 m e 70 kg possui IMC = 21,60</t>
  </si>
  <si>
    <t>* Não utilizar nenhum tipo de IF, for, ou qualquer estrutura de repetição ou função de planilha. Resolver apenas com variáveis e operadores matemáticos (+ - / * &lt; &gt; etc)</t>
  </si>
  <si>
    <r>
      <t>Lista de Exercícios n</t>
    </r>
    <r>
      <rPr>
        <sz val="12"/>
        <color rgb="FF96989A"/>
        <rFont val="Calibri"/>
        <family val="2"/>
      </rPr>
      <t>º 2 - Variáveis</t>
    </r>
  </si>
  <si>
    <t>exiba na tela o valor total da corrida.</t>
  </si>
  <si>
    <t>15 | Informe para o programa quanto você ganha por hora trabalhada, quantas horas você trabalha por dia e quantos dias você</t>
  </si>
  <si>
    <t>trabalha por semana. Exiba na tela o seu salário total no mês. (Considere o mês com 4 semanas)</t>
  </si>
  <si>
    <t>16 |Peça para o usuário informar o valor do depósito (investimento), a taxa de juros ao mês, e a quantidade de meses que o</t>
  </si>
  <si>
    <t>dinheiro ficou no banco. Exiba na tela o valor final do investimento.</t>
  </si>
  <si>
    <t>Para calcular o Montante use a fórmula:</t>
  </si>
  <si>
    <t>M = Montante (valor final) R$ ; P = Depósito Inicial R$; i = taxa de Juros ao mês (%); n = Número de Meses</t>
  </si>
  <si>
    <t>17 | Clique aqui para resolver o Exercício 17</t>
  </si>
  <si>
    <t>Salário Bruto R$</t>
  </si>
  <si>
    <t>IR (11%) R$</t>
  </si>
  <si>
    <t>INSS (8%) R$</t>
  </si>
  <si>
    <t>Sindicato (5%) R$</t>
  </si>
  <si>
    <t>Salário Líquido R$</t>
  </si>
  <si>
    <t>Observação: Salário Líquido = Salário Bruto - Descontos</t>
  </si>
  <si>
    <t>Tabela 1</t>
  </si>
  <si>
    <t>Remuneração/Hora</t>
  </si>
  <si>
    <t>Horas trabalhas / dia</t>
  </si>
  <si>
    <t>Dias de trabalho/ Semana</t>
  </si>
  <si>
    <t>Tabela de Descontos Mensal</t>
  </si>
  <si>
    <t xml:space="preserve">18 | Peça para o usuário informar um número de 3 algarismos e exiba na tela esse número de trás para frente Ex: Se informado </t>
  </si>
  <si>
    <t>574 será exibido 475</t>
  </si>
  <si>
    <t>Taxa de Importação</t>
  </si>
  <si>
    <t>Total da compra + Taxa</t>
  </si>
  <si>
    <t>Valor da compra</t>
  </si>
  <si>
    <t>19 | Clique aqui para resolver o Exercício 19</t>
  </si>
  <si>
    <t>20 | O preço de um produto custa R$ 5,00 a unidade. Se o cliente comprar mais do que 50 unidades ele terá um desconto de 10%</t>
  </si>
  <si>
    <t>no valor da compra. Crie um programa onde o usuário informará o total de unidades comprada e informe a ele o valor</t>
  </si>
  <si>
    <t>total da compra.</t>
  </si>
  <si>
    <t>Para saber se teu programa está correto. Uma compra de 60 unidades sairá por R$ 270,00</t>
  </si>
  <si>
    <t>Para saber se teu programa está correto. Um investimento de 10 mil, durante 5 meses, a uma taxa de 2% ao mês resultará em R$ 11.040,80</t>
  </si>
  <si>
    <t xml:space="preserve">14 | Você é motorista de aplicativo e cobra R$ 5,00 fixos + R$ 4,50 por Km. Peça para o usuário informar quantos Km ele vai rodar e </t>
  </si>
  <si>
    <t>Dep Inicial</t>
  </si>
  <si>
    <t>taxa de juros</t>
  </si>
  <si>
    <t>n 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</si>
</sst>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$-409]* #,##0.00_ ;_-[$$-409]* \-#,##0.00\ ;_-[$$-409]* &quot;-&quot;??_ ;_-@_ "/>
  </numFmts>
  <fonts count="14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Tw Cen MT"/>
      <family val="2"/>
    </font>
    <font>
      <b/>
      <sz val="12"/>
      <name val="Tw Cen MT"/>
      <family val="2"/>
    </font>
    <font>
      <b/>
      <sz val="11"/>
      <name val="Tw Cen MT"/>
      <family val="2"/>
    </font>
    <font>
      <b/>
      <sz val="11"/>
      <color rgb="FFFF0000"/>
      <name val="Tw Cen MT"/>
      <family val="2"/>
    </font>
    <font>
      <b/>
      <sz val="12"/>
      <color theme="1"/>
      <name val="Tw Cen M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4" fontId="7" fillId="0" borderId="0" applyFont="0" applyFill="0" applyBorder="0" applyAlignment="0" applyProtection="0"/>
  </cellStyleXfs>
  <cellXfs count="43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10" fillId="0" borderId="0" xfId="0" applyFont="1" applyAlignment="1">
      <alignment horizontal="left" vertical="center" indent="3"/>
    </xf>
    <xf numFmtId="0" fontId="11" fillId="0" borderId="0" xfId="0" applyFont="1" applyAlignment="1">
      <alignment horizontal="left" vertical="center" indent="3"/>
    </xf>
    <xf numFmtId="0" fontId="12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2" xfId="0" applyFont="1" applyBorder="1" applyAlignment="1">
      <alignment horizontal="right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8" fillId="0" borderId="0" xfId="0" applyFont="1"/>
    <xf numFmtId="0" fontId="5" fillId="0" borderId="2" xfId="0" applyFont="1" applyBorder="1" applyAlignment="1">
      <alignment horizontal="center" vertical="center"/>
    </xf>
    <xf numFmtId="164" fontId="5" fillId="0" borderId="2" xfId="2" applyNumberFormat="1" applyFont="1" applyBorder="1" applyAlignment="1">
      <alignment horizontal="center" vertical="center"/>
    </xf>
    <xf numFmtId="2" fontId="5" fillId="0" borderId="2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8" fontId="4" fillId="0" borderId="0" xfId="1" applyNumberFormat="1"/>
    <xf numFmtId="0" fontId="4" fillId="0" borderId="0" xfId="1"/>
    <xf numFmtId="165" fontId="5" fillId="0" borderId="2" xfId="2" applyNumberFormat="1" applyFont="1" applyBorder="1" applyAlignment="1">
      <alignment horizontal="center" vertical="center"/>
    </xf>
    <xf numFmtId="9" fontId="5" fillId="0" borderId="2" xfId="0" applyNumberFormat="1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vertical="center" indent="3"/>
    </xf>
    <xf numFmtId="0" fontId="12" fillId="0" borderId="0" xfId="0" applyFont="1" applyAlignment="1">
      <alignment horizontal="left" vertical="center" indent="2"/>
    </xf>
    <xf numFmtId="9" fontId="0" fillId="0" borderId="0" xfId="0" applyNumberFormat="1"/>
    <xf numFmtId="8" fontId="0" fillId="0" borderId="0" xfId="0" applyNumberFormat="1"/>
    <xf numFmtId="44" fontId="5" fillId="0" borderId="2" xfId="2" applyFont="1" applyBorder="1" applyAlignment="1">
      <alignment horizontal="center" vertical="center"/>
    </xf>
    <xf numFmtId="2" fontId="0" fillId="0" borderId="0" xfId="0" applyNumberFormat="1"/>
    <xf numFmtId="44" fontId="0" fillId="0" borderId="0" xfId="0" applyNumberFormat="1"/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4</xdr:col>
      <xdr:colOff>603331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  <xdr:oneCellAnchor>
    <xdr:from>
      <xdr:col>11</xdr:col>
      <xdr:colOff>514350</xdr:colOff>
      <xdr:row>11</xdr:row>
      <xdr:rowOff>47625</xdr:rowOff>
    </xdr:from>
    <xdr:ext cx="2702278" cy="2898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705600" y="2066925"/>
              <a:ext cx="2702278" cy="2898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𝐼𝑀𝐶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í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𝑛𝑑𝑖𝑐𝑒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𝑚𝑎𝑠𝑠𝑎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𝑐𝑜𝑟𝑝𝑜𝑟𝑎𝑙</m:t>
                        </m:r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𝑚𝑎𝑠𝑠𝑎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𝑎𝑙𝑡𝑢𝑟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6705600" y="2066925"/>
              <a:ext cx="2702278" cy="2898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𝐼𝑀𝐶 (í𝑛𝑑𝑖𝑐𝑒 𝑑𝑒 𝑚𝑎𝑠𝑠𝑎 𝑐𝑜𝑟𝑝𝑜𝑟𝑎𝑙)=𝑚𝑎𝑠𝑠𝑎/(𝑎𝑙𝑡𝑢𝑟𝑎^2 )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6</xdr:col>
      <xdr:colOff>328178</xdr:colOff>
      <xdr:row>19</xdr:row>
      <xdr:rowOff>38966</xdr:rowOff>
    </xdr:from>
    <xdr:ext cx="91698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3774496" y="3892261"/>
              <a:ext cx="91698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𝑃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e>
                        </m:d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" name="CaixaDeTexto 3"/>
            <xdr:cNvSpPr txBox="1"/>
          </xdr:nvSpPr>
          <xdr:spPr>
            <a:xfrm>
              <a:off x="3774496" y="3892261"/>
              <a:ext cx="91698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𝑀=𝑃(1+𝑖)^𝑛</a:t>
              </a:r>
              <a:endParaRPr lang="pt-BR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</xdr:row>
      <xdr:rowOff>3174</xdr:rowOff>
    </xdr:from>
    <xdr:to>
      <xdr:col>2</xdr:col>
      <xdr:colOff>1390650</xdr:colOff>
      <xdr:row>5</xdr:row>
      <xdr:rowOff>113774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17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2</xdr:col>
      <xdr:colOff>1533524</xdr:colOff>
      <xdr:row>2</xdr:row>
      <xdr:rowOff>0</xdr:rowOff>
    </xdr:from>
    <xdr:to>
      <xdr:col>15</xdr:col>
      <xdr:colOff>47625</xdr:colOff>
      <xdr:row>5</xdr:row>
      <xdr:rowOff>114300</xdr:rowOff>
    </xdr:to>
    <xdr:sp macro="" textlink="">
      <xdr:nvSpPr>
        <xdr:cNvPr id="13" name="CaixaDeTexto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17 | Na tabela 1 o usuário deverá informar quanto ganha por hora trabalhada, quantas horas trabalha por dia e quantos dias</a:t>
          </a: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 </a:t>
          </a: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trabalha por semana. Sabendo que são descontados 11% de imposto de Renda, 8% para o INSS e 5% para o sindicato, através do VBA, preencha a tabela de descontos após clicar no botão Criar Relatório.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276225</xdr:colOff>
      <xdr:row>11</xdr:row>
      <xdr:rowOff>95250</xdr:rowOff>
    </xdr:from>
    <xdr:to>
      <xdr:col>2</xdr:col>
      <xdr:colOff>1657350</xdr:colOff>
      <xdr:row>13</xdr:row>
      <xdr:rowOff>123825</xdr:rowOff>
    </xdr:to>
    <xdr:sp macro="[0]!exer17" textlink="">
      <xdr:nvSpPr>
        <xdr:cNvPr id="15" name="Retângulo Arredondad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95325" y="2495550"/>
          <a:ext cx="16668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Criar Relatório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85725</xdr:rowOff>
    </xdr:from>
    <xdr:to>
      <xdr:col>14</xdr:col>
      <xdr:colOff>47626</xdr:colOff>
      <xdr:row>20</xdr:row>
      <xdr:rowOff>0</xdr:rowOff>
    </xdr:to>
    <xdr:sp macro="" textlink="">
      <xdr:nvSpPr>
        <xdr:cNvPr id="17" name="CaixaDeTexto 4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704850" y="3533775"/>
          <a:ext cx="10058401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Atenção: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</xdr:row>
      <xdr:rowOff>3174</xdr:rowOff>
    </xdr:from>
    <xdr:to>
      <xdr:col>2</xdr:col>
      <xdr:colOff>1390650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19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2</xdr:col>
      <xdr:colOff>1533524</xdr:colOff>
      <xdr:row>2</xdr:row>
      <xdr:rowOff>0</xdr:rowOff>
    </xdr:from>
    <xdr:to>
      <xdr:col>17</xdr:col>
      <xdr:colOff>0</xdr:colOff>
      <xdr:row>5</xdr:row>
      <xdr:rowOff>114300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238374" y="485775"/>
          <a:ext cx="8905876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19 | Na Tabela 1 preencha o valor de uma compra feita no exterior em dólares. A taxa de importaçao é 30%. Se o valor da compra for maior do que  $ 500,00 o produto será taxado, caso contrário estará isento de taxa de importação. Ao clicar no botão calcular, o program deve exibir na tabela o valor total da compra com ou sem taxa.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266700</xdr:colOff>
      <xdr:row>11</xdr:row>
      <xdr:rowOff>171450</xdr:rowOff>
    </xdr:from>
    <xdr:to>
      <xdr:col>2</xdr:col>
      <xdr:colOff>1647825</xdr:colOff>
      <xdr:row>14</xdr:row>
      <xdr:rowOff>9525</xdr:rowOff>
    </xdr:to>
    <xdr:sp macro="[0]!exer19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85800" y="2571750"/>
          <a:ext cx="16668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Calcular</a:t>
          </a:r>
        </a:p>
      </xdr:txBody>
    </xdr:sp>
    <xdr:clientData/>
  </xdr:twoCellAnchor>
  <xdr:twoCellAnchor editAs="absolute">
    <xdr:from>
      <xdr:col>2</xdr:col>
      <xdr:colOff>0</xdr:colOff>
      <xdr:row>16</xdr:row>
      <xdr:rowOff>38100</xdr:rowOff>
    </xdr:from>
    <xdr:to>
      <xdr:col>16</xdr:col>
      <xdr:colOff>142876</xdr:colOff>
      <xdr:row>19</xdr:row>
      <xdr:rowOff>142875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04850" y="3390900"/>
          <a:ext cx="10058401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Atenção: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1"/>
  <sheetViews>
    <sheetView showGridLines="0" topLeftCell="A17" zoomScale="110" zoomScaleNormal="110" workbookViewId="0">
      <selection activeCell="D23" sqref="D23"/>
    </sheetView>
  </sheetViews>
  <sheetFormatPr defaultRowHeight="14.5" x14ac:dyDescent="0.35"/>
  <cols>
    <col min="1" max="1" width="6.26953125" customWidth="1"/>
    <col min="2" max="2" width="4.26953125" customWidth="1"/>
    <col min="3" max="3" width="10.54296875" bestFit="1" customWidth="1"/>
    <col min="4" max="4" width="12.453125" bestFit="1" customWidth="1"/>
    <col min="14" max="14" width="9" customWidth="1"/>
    <col min="15" max="15" width="6.1796875" customWidth="1"/>
    <col min="16" max="16" width="8.7265625" bestFit="1" customWidth="1"/>
    <col min="17" max="17" width="3.81640625" customWidth="1"/>
    <col min="18" max="18" width="5.81640625" customWidth="1"/>
  </cols>
  <sheetData>
    <row r="1" spans="3:21" ht="8.25" hidden="1" customHeight="1" x14ac:dyDescent="0.35"/>
    <row r="3" spans="3:21" ht="23.5" x14ac:dyDescent="0.55000000000000004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5" x14ac:dyDescent="0.35">
      <c r="C4" s="3" t="s">
        <v>9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3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35">
      <c r="C6" s="41" t="s">
        <v>2</v>
      </c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</row>
    <row r="7" spans="3:21" ht="15" customHeight="1" x14ac:dyDescent="0.35"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</row>
    <row r="8" spans="3:21" ht="15" customHeight="1" x14ac:dyDescent="0.35">
      <c r="C8" s="6" t="s">
        <v>3</v>
      </c>
    </row>
    <row r="9" spans="3:21" ht="15" customHeight="1" x14ac:dyDescent="0.35">
      <c r="C9" s="9" t="s">
        <v>4</v>
      </c>
    </row>
    <row r="10" spans="3:21" ht="15" customHeight="1" x14ac:dyDescent="0.35">
      <c r="C10" s="6" t="s">
        <v>5</v>
      </c>
    </row>
    <row r="11" spans="3:21" ht="15" customHeight="1" x14ac:dyDescent="0.35">
      <c r="C11" s="12" t="s">
        <v>8</v>
      </c>
    </row>
    <row r="12" spans="3:21" ht="15" customHeight="1" x14ac:dyDescent="0.35">
      <c r="C12" s="6" t="s">
        <v>6</v>
      </c>
    </row>
    <row r="13" spans="3:21" ht="15" customHeight="1" x14ac:dyDescent="0.35">
      <c r="C13" s="11" t="s">
        <v>7</v>
      </c>
    </row>
    <row r="14" spans="3:21" ht="18" x14ac:dyDescent="0.35">
      <c r="C14" s="6" t="s">
        <v>40</v>
      </c>
    </row>
    <row r="15" spans="3:21" ht="18" x14ac:dyDescent="0.35">
      <c r="C15" s="6" t="s">
        <v>10</v>
      </c>
    </row>
    <row r="16" spans="3:21" ht="18" x14ac:dyDescent="0.35">
      <c r="C16" s="6" t="s">
        <v>11</v>
      </c>
    </row>
    <row r="17" spans="2:8" ht="18" x14ac:dyDescent="0.35">
      <c r="C17" s="9" t="s">
        <v>12</v>
      </c>
    </row>
    <row r="18" spans="2:8" ht="18" x14ac:dyDescent="0.35">
      <c r="C18" s="6" t="s">
        <v>13</v>
      </c>
    </row>
    <row r="19" spans="2:8" ht="18" x14ac:dyDescent="0.35">
      <c r="C19" s="9" t="s">
        <v>14</v>
      </c>
    </row>
    <row r="20" spans="2:8" ht="15.5" x14ac:dyDescent="0.35">
      <c r="C20" s="10" t="s">
        <v>15</v>
      </c>
    </row>
    <row r="21" spans="2:8" ht="15.5" x14ac:dyDescent="0.35">
      <c r="C21" s="10" t="s">
        <v>16</v>
      </c>
    </row>
    <row r="22" spans="2:8" ht="15.5" x14ac:dyDescent="0.35">
      <c r="C22" s="34" t="s">
        <v>39</v>
      </c>
    </row>
    <row r="23" spans="2:8" ht="18" x14ac:dyDescent="0.35">
      <c r="B23" s="4"/>
      <c r="C23" s="6" t="s">
        <v>17</v>
      </c>
      <c r="D23" s="29"/>
      <c r="E23" s="30"/>
      <c r="F23" s="30"/>
      <c r="G23" s="30"/>
      <c r="H23" s="30"/>
    </row>
    <row r="24" spans="2:8" ht="18" x14ac:dyDescent="0.35">
      <c r="B24" s="4"/>
      <c r="C24" s="6" t="s">
        <v>29</v>
      </c>
    </row>
    <row r="25" spans="2:8" ht="18" x14ac:dyDescent="0.35">
      <c r="C25" s="9" t="s">
        <v>30</v>
      </c>
    </row>
    <row r="26" spans="2:8" ht="18" x14ac:dyDescent="0.35">
      <c r="C26" s="6" t="s">
        <v>34</v>
      </c>
    </row>
    <row r="27" spans="2:8" ht="18" x14ac:dyDescent="0.35">
      <c r="C27" s="6" t="s">
        <v>35</v>
      </c>
    </row>
    <row r="28" spans="2:8" ht="18" x14ac:dyDescent="0.35">
      <c r="C28" s="9" t="s">
        <v>36</v>
      </c>
    </row>
    <row r="29" spans="2:8" ht="18" x14ac:dyDescent="0.35">
      <c r="C29" s="9" t="s">
        <v>37</v>
      </c>
    </row>
    <row r="30" spans="2:8" ht="15.5" x14ac:dyDescent="0.35">
      <c r="C30" s="34" t="s">
        <v>38</v>
      </c>
    </row>
    <row r="31" spans="2:8" x14ac:dyDescent="0.35">
      <c r="C31" s="35" t="s">
        <v>8</v>
      </c>
    </row>
  </sheetData>
  <mergeCells count="1">
    <mergeCell ref="C6:S7"/>
  </mergeCells>
  <hyperlinks>
    <hyperlink ref="C5" r:id="rId1" xr:uid="{00000000-0004-0000-0000-000000000000}"/>
    <hyperlink ref="C23:H23" location="'Exercício 17'!A1" display="17 | Clique aqui para resolver o Exercício 17" xr:uid="{00000000-0004-0000-0000-000001000000}"/>
    <hyperlink ref="C26" location="'Exercício 19'!A1" display="19 | Clique aqui para resolver o Exercício 19" xr:uid="{00000000-0004-0000-0000-000002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B3:E5"/>
  <sheetViews>
    <sheetView zoomScale="150" zoomScaleNormal="150" workbookViewId="0">
      <selection activeCell="D9" sqref="D9"/>
    </sheetView>
  </sheetViews>
  <sheetFormatPr defaultRowHeight="14.5" x14ac:dyDescent="0.35"/>
  <cols>
    <col min="2" max="2" width="12.26953125" bestFit="1" customWidth="1"/>
    <col min="5" max="5" width="12.54296875" bestFit="1" customWidth="1"/>
  </cols>
  <sheetData>
    <row r="3" spans="2:5" x14ac:dyDescent="0.35">
      <c r="B3" t="s">
        <v>41</v>
      </c>
      <c r="C3">
        <v>10000</v>
      </c>
      <c r="E3" s="37">
        <f>FV(C4,C5,0,C3)</f>
        <v>-25937.424601000017</v>
      </c>
    </row>
    <row r="4" spans="2:5" x14ac:dyDescent="0.35">
      <c r="B4" t="s">
        <v>42</v>
      </c>
      <c r="C4" s="36">
        <v>0.1</v>
      </c>
    </row>
    <row r="5" spans="2:5" x14ac:dyDescent="0.35">
      <c r="B5" t="s">
        <v>43</v>
      </c>
      <c r="C5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B2:U15"/>
  <sheetViews>
    <sheetView showGridLines="0" workbookViewId="0">
      <selection activeCell="G13" sqref="G13"/>
    </sheetView>
  </sheetViews>
  <sheetFormatPr defaultRowHeight="14.5" x14ac:dyDescent="0.35"/>
  <cols>
    <col min="1" max="1" width="6.26953125" customWidth="1"/>
    <col min="2" max="2" width="4.26953125" customWidth="1"/>
    <col min="3" max="3" width="31.26953125" bestFit="1" customWidth="1"/>
    <col min="4" max="4" width="13.54296875" customWidth="1"/>
    <col min="5" max="5" width="5.81640625" customWidth="1"/>
    <col min="6" max="6" width="22.26953125" bestFit="1" customWidth="1"/>
    <col min="7" max="7" width="16.81640625" bestFit="1" customWidth="1"/>
    <col min="9" max="9" width="12.1796875" bestFit="1" customWidth="1"/>
    <col min="13" max="13" width="6.1796875" customWidth="1"/>
    <col min="14" max="14" width="5.453125" customWidth="1"/>
    <col min="15" max="15" width="2.7265625" customWidth="1"/>
    <col min="16" max="16" width="3.7265625" customWidth="1"/>
    <col min="17" max="17" width="7.81640625" customWidth="1"/>
    <col min="18" max="18" width="5.81640625" customWidth="1"/>
  </cols>
  <sheetData>
    <row r="2" spans="2:21" ht="23.5" x14ac:dyDescent="0.55000000000000004">
      <c r="C2" s="1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5" x14ac:dyDescent="0.35">
      <c r="C3" s="1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35">
      <c r="C4" s="15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T4" s="5"/>
      <c r="U4" s="5"/>
    </row>
    <row r="5" spans="2:21" ht="15" customHeight="1" x14ac:dyDescent="0.35"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21" ht="15" customHeight="1" x14ac:dyDescent="0.35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8" spans="2:21" ht="18" x14ac:dyDescent="0.35">
      <c r="B8" s="6"/>
      <c r="C8" s="20" t="s">
        <v>24</v>
      </c>
      <c r="D8" s="21"/>
      <c r="F8" s="27" t="s">
        <v>28</v>
      </c>
      <c r="G8" s="28"/>
      <c r="H8" s="21"/>
      <c r="J8" s="20"/>
    </row>
    <row r="9" spans="2:21" ht="18" x14ac:dyDescent="0.35">
      <c r="C9" s="19" t="s">
        <v>25</v>
      </c>
      <c r="D9" s="24">
        <v>15</v>
      </c>
      <c r="F9" s="19" t="s">
        <v>18</v>
      </c>
      <c r="G9" s="38">
        <v>2400</v>
      </c>
    </row>
    <row r="10" spans="2:21" ht="18" x14ac:dyDescent="0.35">
      <c r="C10" s="19" t="s">
        <v>26</v>
      </c>
      <c r="D10" s="26">
        <v>5</v>
      </c>
      <c r="F10" s="19" t="s">
        <v>19</v>
      </c>
      <c r="G10" s="25">
        <v>264</v>
      </c>
      <c r="I10" s="39">
        <f>G10+G11+G12</f>
        <v>576</v>
      </c>
    </row>
    <row r="11" spans="2:21" ht="18" x14ac:dyDescent="0.35">
      <c r="C11" s="19" t="s">
        <v>27</v>
      </c>
      <c r="D11" s="23">
        <v>8</v>
      </c>
      <c r="F11" s="19" t="s">
        <v>20</v>
      </c>
      <c r="G11" s="25">
        <v>192</v>
      </c>
      <c r="I11" s="40">
        <f>G9-I10</f>
        <v>1824</v>
      </c>
    </row>
    <row r="12" spans="2:21" ht="18" x14ac:dyDescent="0.35">
      <c r="F12" s="19" t="s">
        <v>21</v>
      </c>
      <c r="G12" s="25">
        <v>120</v>
      </c>
    </row>
    <row r="13" spans="2:21" ht="18" x14ac:dyDescent="0.35">
      <c r="F13" s="19" t="s">
        <v>22</v>
      </c>
      <c r="G13" s="38">
        <v>1824</v>
      </c>
    </row>
    <row r="15" spans="2:21" x14ac:dyDescent="0.35">
      <c r="F15" s="22" t="s">
        <v>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2:U11"/>
  <sheetViews>
    <sheetView showGridLines="0" tabSelected="1" workbookViewId="0">
      <selection activeCell="D9" sqref="D9"/>
    </sheetView>
  </sheetViews>
  <sheetFormatPr defaultRowHeight="14.5" x14ac:dyDescent="0.35"/>
  <cols>
    <col min="1" max="1" width="6.26953125" customWidth="1"/>
    <col min="2" max="2" width="4.26953125" customWidth="1"/>
    <col min="3" max="3" width="31.26953125" bestFit="1" customWidth="1"/>
    <col min="4" max="4" width="14.453125" bestFit="1" customWidth="1"/>
    <col min="5" max="5" width="5.81640625" customWidth="1"/>
    <col min="6" max="6" width="22.26953125" bestFit="1" customWidth="1"/>
    <col min="7" max="7" width="11.1796875" customWidth="1"/>
    <col min="13" max="13" width="6.1796875" customWidth="1"/>
    <col min="14" max="14" width="5.453125" customWidth="1"/>
    <col min="15" max="15" width="2.7265625" customWidth="1"/>
    <col min="16" max="16" width="3.7265625" customWidth="1"/>
    <col min="17" max="17" width="7.81640625" customWidth="1"/>
    <col min="18" max="18" width="5.81640625" customWidth="1"/>
  </cols>
  <sheetData>
    <row r="2" spans="2:21" ht="23.5" x14ac:dyDescent="0.55000000000000004">
      <c r="C2" s="1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1" ht="15.5" x14ac:dyDescent="0.35">
      <c r="C3" s="1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21" x14ac:dyDescent="0.35">
      <c r="C4" s="15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T4" s="5"/>
      <c r="U4" s="5"/>
    </row>
    <row r="5" spans="2:21" ht="15" customHeight="1" x14ac:dyDescent="0.35"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21" ht="15" customHeight="1" x14ac:dyDescent="0.35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8" spans="2:21" ht="18" x14ac:dyDescent="0.35">
      <c r="B8" s="6"/>
      <c r="C8" s="20" t="s">
        <v>24</v>
      </c>
      <c r="D8" s="21"/>
    </row>
    <row r="9" spans="2:21" ht="18" x14ac:dyDescent="0.35">
      <c r="C9" s="19" t="s">
        <v>33</v>
      </c>
      <c r="D9" s="31">
        <v>510</v>
      </c>
    </row>
    <row r="10" spans="2:21" ht="18" x14ac:dyDescent="0.35">
      <c r="C10" s="19" t="s">
        <v>31</v>
      </c>
      <c r="D10" s="32">
        <v>0.3</v>
      </c>
    </row>
    <row r="11" spans="2:21" ht="18" x14ac:dyDescent="0.35">
      <c r="C11" s="19" t="s">
        <v>32</v>
      </c>
      <c r="D11" s="33">
        <v>663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Início</vt:lpstr>
      <vt:lpstr>Planilha1</vt:lpstr>
      <vt:lpstr>Exercício 17</vt:lpstr>
      <vt:lpstr>Exercício 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2018-12-05T02:44:12Z</dcterms:created>
  <dcterms:modified xsi:type="dcterms:W3CDTF">2022-03-30T01:08:39Z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d6c533a5-2457-4bfb-a334-9ea595d05b66</vt:lpwstr>
  </property>
</Properties>
</file>